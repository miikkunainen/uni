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rjaukset" sheetId="1" state="visible" r:id="rId3"/>
    <sheet name="Yhteenveto" sheetId="2" state="visible" r:id="rId4"/>
    <sheet name="Ohj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Esimerkkirivi — poista ennen käyttöä. Näyttää odotetun muodon.</t>
        </r>
      </text>
    </comment>
  </commentList>
</comments>
</file>

<file path=xl/sharedStrings.xml><?xml version="1.0" encoding="utf-8"?>
<sst xmlns="http://schemas.openxmlformats.org/spreadsheetml/2006/main" count="55" uniqueCount="52">
  <si>
    <t xml:space="preserve">Pvm</t>
  </si>
  <si>
    <t xml:space="preserve">Nimi</t>
  </si>
  <si>
    <t xml:space="preserve">Ryhmä</t>
  </si>
  <si>
    <t xml:space="preserve">Tunniste</t>
  </si>
  <si>
    <t xml:space="preserve">Domain</t>
  </si>
  <si>
    <t xml:space="preserve">Kyvykkyys</t>
  </si>
  <si>
    <t xml:space="preserve">Taso</t>
  </si>
  <si>
    <t xml:space="preserve">Pajamestari</t>
  </si>
  <si>
    <t xml:space="preserve">Voimassa asti</t>
  </si>
  <si>
    <t xml:space="preserve">Status</t>
  </si>
  <si>
    <t xml:space="preserve">9.9.2026</t>
  </si>
  <si>
    <t xml:space="preserve">Esimerkki Opiskelija</t>
  </si>
  <si>
    <t xml:space="preserve">TXA26</t>
  </si>
  <si>
    <t xml:space="preserve">p-ab12cd</t>
  </si>
  <si>
    <t xml:space="preserve">wood.machines</t>
  </si>
  <si>
    <t xml:space="preserve">Puuntyöstökoneet</t>
  </si>
  <si>
    <t xml:space="preserve">Ohjattu</t>
  </si>
  <si>
    <t xml:space="preserve">MI</t>
  </si>
  <si>
    <t xml:space="preserve">2028-09-09</t>
  </si>
  <si>
    <t xml:space="preserve">läpäisty</t>
  </si>
  <si>
    <t xml:space="preserve">Ajokorttirekisteri — yhteenveto</t>
  </si>
  <si>
    <t xml:space="preserve">Laskee automaattisesti Kirjaukset-välilehden riveistä.</t>
  </si>
  <si>
    <t xml:space="preserve">Kirjauksia (kortteja) yhteensä</t>
  </si>
  <si>
    <t xml:space="preserve">Eri opiskelijoita</t>
  </si>
  <si>
    <t xml:space="preserve">Eri pajamestareita kuitannut</t>
  </si>
  <si>
    <t xml:space="preserve">Kortit domainettain</t>
  </si>
  <si>
    <t xml:space="preserve">Kpl</t>
  </si>
  <si>
    <t xml:space="preserve">safety.induction</t>
  </si>
  <si>
    <t xml:space="preserve">metal.machines</t>
  </si>
  <si>
    <t xml:space="preserve">metal.welding</t>
  </si>
  <si>
    <t xml:space="preserve">laser.co2</t>
  </si>
  <si>
    <t xml:space="preserve">Hae pajamestarin kuittaukset</t>
  </si>
  <si>
    <t xml:space="preserve">Kirjoita nimikirjaimet soluun B17:</t>
  </si>
  <si>
    <t xml:space="preserve">→ Kuittauksia tällä pajamestarilla</t>
  </si>
  <si>
    <t xml:space="preserve">Huom: esimerkkirivi kasvattaa lukuja yhdellä, kunnes poistat sen Kirjaukset-välilehdeltä.</t>
  </si>
  <si>
    <t xml:space="preserve">Ajokorttirekisteri — ohje</t>
  </si>
  <si>
    <t xml:space="preserve">Mikä tämä on</t>
  </si>
  <si>
    <t xml:space="preserve">Metropolian sisäinen, virallinen paja-ajokorttirekisteri. Tähän kirjataan oikeat nimet ja pajamestarin</t>
  </si>
  <si>
    <t xml:space="preserve">hyväksynnät. Säilytä tiedosto Metropolian omassa ympäristössä (M365 / SharePoint) käyttöoikeuksin.</t>
  </si>
  <si>
    <t xml:space="preserve">Miten kortit tulevat tänne (kolme tapaa)</t>
  </si>
  <si>
    <t xml:space="preserve">1) SCORM-appista: opiskelija painaa 'Vie rekisteriin (CSV)'. Avaa CSV, kopioi rivit otsikon alle</t>
  </si>
  <si>
    <t xml:space="preserve">   Kirjaukset-välilehdelle. Sarakkeet ovat samassa järjestyksessä.</t>
  </si>
  <si>
    <t xml:space="preserve">2) Pajamestari kirjaa hyväksynnän suoraan riville, kun kuittaa ajokortin.</t>
  </si>
  <si>
    <t xml:space="preserve">3) Moodlen SCORM-raportti antaa suorituslistan (kuka läpäisi) — täydennä sillä.</t>
  </si>
  <si>
    <t xml:space="preserve">Sarakkeet</t>
  </si>
  <si>
    <t xml:space="preserve">Pvm · Nimi · Ryhmä · Tunniste (pseudonyymi) · Domain (esim. wood.machines) · Kyvykkyys (selkokielinen)</t>
  </si>
  <si>
    <t xml:space="preserve">Taso (Ohjattu / Itsenäinen) · Pajamestari (nimikirjaimet) · Voimassa asti · Status</t>
  </si>
  <si>
    <t xml:space="preserve">Tietosuoja</t>
  </si>
  <si>
    <t xml:space="preserve">Nimet ovat vain tässä sisäisessä rekisterissä — se on ok, koska rekisteri on Metropolian hallinnassa.</t>
  </si>
  <si>
    <t xml:space="preserve">Ulos jaettava IKM-vienti (JSON) on aina pseudonyymi, ei sisällä nimeä. Älä vie nimiä IKM-tiedostoon.</t>
  </si>
  <si>
    <t xml:space="preserve">Ennen käyttöä</t>
  </si>
  <si>
    <t xml:space="preserve">Poista esimerkkirivi (Kirjaukset, rivi 2).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</si>
</sst>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5A5347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5"/>
      <color rgb="FF211C16"/>
      <name val="Arial"/>
      <family val="0"/>
      <charset val="1"/>
    </font>
    <font>
      <i val="true"/>
      <sz val="9"/>
      <color rgb="FF5A5347"/>
      <name val="Arial"/>
      <family val="0"/>
      <charset val="1"/>
    </font>
    <font>
      <sz val="11"/>
      <color rgb="FF211C16"/>
      <name val="Arial"/>
      <family val="0"/>
      <charset val="1"/>
    </font>
    <font>
      <b val="true"/>
      <sz val="11"/>
      <color rgb="FF211C16"/>
      <name val="Arial"/>
      <family val="0"/>
      <charset val="1"/>
    </font>
    <font>
      <b val="true"/>
      <sz val="12"/>
      <color rgb="FFCE3F1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11C16"/>
        <bgColor rgb="FF333333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BFAD"/>
      </left>
      <right style="thin">
        <color rgb="FFC8BFAD"/>
      </right>
      <top style="thin">
        <color rgb="FFC8BFAD"/>
      </top>
      <bottom style="thin">
        <color rgb="FFC8BFA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FAD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347"/>
      <rgbColor rgb="FF969696"/>
      <rgbColor rgb="FF003366"/>
      <rgbColor rgb="FF339966"/>
      <rgbColor rgb="FF003300"/>
      <rgbColor rgb="FF211C16"/>
      <rgbColor rgb="FFCE3F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15" hidden="false" customHeight="false" outlineLevel="0" collapsed="false">
      <c r="A3" s="4"/>
      <c r="B3" s="5"/>
      <c r="C3" s="4"/>
      <c r="D3" s="4"/>
      <c r="E3" s="4"/>
      <c r="F3" s="4"/>
      <c r="G3" s="4"/>
      <c r="H3" s="4"/>
      <c r="I3" s="4"/>
      <c r="J3" s="4"/>
    </row>
    <row r="4" customFormat="false" ht="15" hidden="false" customHeight="false" outlineLevel="0" collapsed="false">
      <c r="A4" s="4"/>
      <c r="B4" s="5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4"/>
      <c r="B5" s="5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4"/>
      <c r="B6" s="5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/>
      <c r="B7" s="5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/>
      <c r="B8" s="5"/>
      <c r="C8" s="4"/>
      <c r="D8" s="4"/>
      <c r="E8" s="4"/>
      <c r="F8" s="4"/>
      <c r="G8" s="4"/>
      <c r="H8" s="4"/>
      <c r="I8" s="4"/>
      <c r="J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18.55" hidden="false" customHeight="false" outlineLevel="0" collapsed="false">
      <c r="A1" s="6" t="s">
        <v>20</v>
      </c>
    </row>
    <row r="2" customFormat="false" ht="15" hidden="false" customHeight="false" outlineLevel="0" collapsed="false">
      <c r="A2" s="7" t="s">
        <v>21</v>
      </c>
    </row>
    <row r="4" customFormat="false" ht="15" hidden="false" customHeight="false" outlineLevel="0" collapsed="false">
      <c r="A4" s="8" t="s">
        <v>22</v>
      </c>
      <c r="B4" s="9" t="n">
        <f aca="false">COUNTA(Kirjaukset!B2:B1000)</f>
        <v>1</v>
      </c>
    </row>
    <row r="5" customFormat="false" ht="15" hidden="false" customHeight="false" outlineLevel="0" collapsed="false">
      <c r="A5" s="8" t="s">
        <v>23</v>
      </c>
      <c r="B5" s="9" t="n">
        <f aca="false">SUMPRODUCT((Kirjaukset!B2:B1000&lt;&gt;"")/COUNTIF(Kirjaukset!B2:B1000,Kirjaukset!B2:B1000&amp;""))</f>
        <v>1</v>
      </c>
    </row>
    <row r="6" customFormat="false" ht="15" hidden="false" customHeight="false" outlineLevel="0" collapsed="false">
      <c r="A6" s="8" t="s">
        <v>24</v>
      </c>
      <c r="B6" s="9" t="n">
        <f aca="false">SUMPRODUCT((Kirjaukset!H2:H1000&lt;&gt;"")/COUNTIF(Kirjaukset!H2:H1000,Kirjaukset!H2:H1000&amp;""))</f>
        <v>1</v>
      </c>
    </row>
    <row r="8" customFormat="false" ht="15" hidden="false" customHeight="false" outlineLevel="0" collapsed="false">
      <c r="A8" s="10" t="s">
        <v>25</v>
      </c>
    </row>
    <row r="9" customFormat="false" ht="15" hidden="false" customHeight="false" outlineLevel="0" collapsed="false">
      <c r="A9" s="1" t="s">
        <v>4</v>
      </c>
      <c r="B9" s="1" t="s">
        <v>26</v>
      </c>
    </row>
    <row r="10" customFormat="false" ht="15" hidden="false" customHeight="false" outlineLevel="0" collapsed="false">
      <c r="A10" s="11" t="s">
        <v>27</v>
      </c>
      <c r="B10" s="4" t="n">
        <f aca="false">COUNTIF(Kirjaukset!E:E,A10)</f>
        <v>0</v>
      </c>
    </row>
    <row r="11" customFormat="false" ht="15" hidden="false" customHeight="false" outlineLevel="0" collapsed="false">
      <c r="A11" s="11" t="s">
        <v>14</v>
      </c>
      <c r="B11" s="4" t="n">
        <f aca="false">COUNTIF(Kirjaukset!E:E,A11)</f>
        <v>1</v>
      </c>
    </row>
    <row r="12" customFormat="false" ht="15" hidden="false" customHeight="false" outlineLevel="0" collapsed="false">
      <c r="A12" s="11" t="s">
        <v>28</v>
      </c>
      <c r="B12" s="4" t="n">
        <f aca="false">COUNTIF(Kirjaukset!E:E,A12)</f>
        <v>0</v>
      </c>
    </row>
    <row r="13" customFormat="false" ht="15" hidden="false" customHeight="false" outlineLevel="0" collapsed="false">
      <c r="A13" s="11" t="s">
        <v>29</v>
      </c>
      <c r="B13" s="4" t="n">
        <f aca="false">COUNTIF(Kirjaukset!E:E,A13)</f>
        <v>0</v>
      </c>
    </row>
    <row r="14" customFormat="false" ht="15" hidden="false" customHeight="false" outlineLevel="0" collapsed="false">
      <c r="A14" s="11" t="s">
        <v>30</v>
      </c>
      <c r="B14" s="4" t="n">
        <f aca="false">COUNTIF(Kirjaukset!E:E,A14)</f>
        <v>0</v>
      </c>
    </row>
    <row r="16" customFormat="false" ht="15" hidden="false" customHeight="false" outlineLevel="0" collapsed="false">
      <c r="A16" s="10" t="s">
        <v>31</v>
      </c>
    </row>
    <row r="17" customFormat="false" ht="15" hidden="false" customHeight="false" outlineLevel="0" collapsed="false">
      <c r="A17" s="12" t="s">
        <v>32</v>
      </c>
      <c r="B17" s="13" t="s">
        <v>17</v>
      </c>
    </row>
    <row r="18" customFormat="false" ht="15" hidden="false" customHeight="false" outlineLevel="0" collapsed="false">
      <c r="A18" s="12" t="s">
        <v>33</v>
      </c>
      <c r="B18" s="14" t="n">
        <f aca="false">COUNTIF(Kirjaukset!H:H,B17)</f>
        <v>1</v>
      </c>
    </row>
    <row r="21" customFormat="false" ht="15" hidden="false" customHeight="false" outlineLevel="0" collapsed="false">
      <c r="A21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6" t="s">
        <v>35</v>
      </c>
    </row>
    <row r="3" customFormat="false" ht="15" hidden="false" customHeight="false" outlineLevel="0" collapsed="false">
      <c r="A3" s="10" t="s">
        <v>36</v>
      </c>
    </row>
    <row r="4" customFormat="false" ht="15" hidden="false" customHeight="false" outlineLevel="0" collapsed="false">
      <c r="A4" s="12" t="s">
        <v>37</v>
      </c>
    </row>
    <row r="5" customFormat="false" ht="15" hidden="false" customHeight="false" outlineLevel="0" collapsed="false">
      <c r="A5" s="12" t="s">
        <v>38</v>
      </c>
    </row>
    <row r="7" customFormat="false" ht="15" hidden="false" customHeight="false" outlineLevel="0" collapsed="false">
      <c r="A7" s="10" t="s">
        <v>39</v>
      </c>
    </row>
    <row r="8" customFormat="false" ht="15" hidden="false" customHeight="false" outlineLevel="0" collapsed="false">
      <c r="A8" s="12" t="s">
        <v>40</v>
      </c>
    </row>
    <row r="9" customFormat="false" ht="15" hidden="false" customHeight="false" outlineLevel="0" collapsed="false">
      <c r="A9" s="12" t="s">
        <v>41</v>
      </c>
    </row>
    <row r="10" customFormat="false" ht="15" hidden="false" customHeight="false" outlineLevel="0" collapsed="false">
      <c r="A10" s="12" t="s">
        <v>42</v>
      </c>
    </row>
    <row r="11" customFormat="false" ht="15" hidden="false" customHeight="false" outlineLevel="0" collapsed="false">
      <c r="A11" s="12" t="s">
        <v>43</v>
      </c>
    </row>
    <row r="13" customFormat="false" ht="15" hidden="false" customHeight="false" outlineLevel="0" collapsed="false">
      <c r="A13" s="10" t="s">
        <v>44</v>
      </c>
    </row>
    <row r="14" customFormat="false" ht="15" hidden="false" customHeight="false" outlineLevel="0" collapsed="false">
      <c r="A14" s="12" t="s">
        <v>45</v>
      </c>
    </row>
    <row r="15" customFormat="false" ht="15" hidden="false" customHeight="false" outlineLevel="0" collapsed="false">
      <c r="A15" s="12" t="s">
        <v>46</v>
      </c>
    </row>
    <row r="17" customFormat="false" ht="15" hidden="false" customHeight="false" outlineLevel="0" collapsed="false">
      <c r="A17" s="10" t="s">
        <v>47</v>
      </c>
    </row>
    <row r="18" customFormat="false" ht="15" hidden="false" customHeight="false" outlineLevel="0" collapsed="false">
      <c r="A18" s="12" t="s">
        <v>48</v>
      </c>
    </row>
    <row r="19" customFormat="false" ht="15" hidden="false" customHeight="false" outlineLevel="0" collapsed="false">
      <c r="A19" s="12" t="s">
        <v>49</v>
      </c>
    </row>
    <row r="21" customFormat="false" ht="15" hidden="false" customHeight="false" outlineLevel="0" collapsed="false">
      <c r="A21" s="10" t="s">
        <v>50</v>
      </c>
    </row>
    <row r="22" customFormat="false" ht="15" hidden="false" customHeight="false" outlineLevel="0" collapsed="false">
      <c r="A22" s="1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2026-08-09T17:57:42Z</dcterms:created>
  <dc:creator>openpyxl</dc:creator>
  <dc:description/>
  <dc:language>en-US</dc:language>
  <cp:lastModifiedBy/>
  <dcterms:modified xsi:type="dcterms:W3CDTF">2026-08-09T17:57:42Z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